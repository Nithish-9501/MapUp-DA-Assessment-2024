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nithi\Documents\GitHub\MapUp-DA-Assessment-2024\"/>
    </mc:Choice>
  </mc:AlternateContent>
  <bookViews>
    <workbookView xWindow="0" yWindow="504" windowWidth="29400" windowHeight="1629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16" l="1"/>
  <c r="E16" i="16"/>
  <c r="D16" i="16"/>
  <c r="C16" i="16"/>
  <c r="B16" i="16"/>
  <c r="B17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47" i="16"/>
  <c r="C48" i="16"/>
  <c r="C49" i="16"/>
  <c r="C50" i="16"/>
  <c r="C51" i="16"/>
  <c r="C52" i="16"/>
  <c r="C53" i="16"/>
  <c r="C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24" i="16"/>
  <c r="B25" i="16"/>
  <c r="B26" i="16"/>
  <c r="B27" i="16"/>
  <c r="B28" i="16"/>
  <c r="B29" i="16"/>
  <c r="B30" i="16"/>
  <c r="B31" i="16"/>
  <c r="B18" i="16"/>
  <c r="B19" i="16"/>
  <c r="B20" i="16"/>
  <c r="B21" i="16"/>
  <c r="B22" i="16"/>
  <c r="B23" i="16"/>
  <c r="B6" i="19"/>
  <c r="F30" i="18"/>
  <c r="E30" i="18"/>
  <c r="D30" i="18"/>
  <c r="C30" i="18"/>
  <c r="B30" i="18"/>
  <c r="F29" i="18"/>
  <c r="E29" i="18"/>
  <c r="B29" i="18"/>
  <c r="C29" i="18"/>
  <c r="D29" i="18"/>
  <c r="F28" i="18"/>
  <c r="E28" i="18"/>
  <c r="D28" i="18"/>
  <c r="C28" i="18"/>
  <c r="B28" i="18"/>
  <c r="B25" i="18"/>
  <c r="B23" i="18"/>
  <c r="B24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26" i="18"/>
  <c r="B27" i="18"/>
  <c r="C27" i="18"/>
  <c r="C26" i="18"/>
  <c r="C24" i="18"/>
  <c r="C25" i="18"/>
  <c r="C23" i="18"/>
  <c r="C21" i="18"/>
  <c r="C22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F27" i="18"/>
  <c r="F26" i="18"/>
  <c r="F25" i="18"/>
  <c r="F22" i="18"/>
  <c r="F24" i="18"/>
  <c r="F23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27" i="18"/>
  <c r="E25" i="18"/>
  <c r="E26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6" i="18"/>
  <c r="E7" i="18"/>
  <c r="B7" i="18"/>
  <c r="B6" i="18"/>
</calcChain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<sst xmlns="http://schemas.openxmlformats.org/spreadsheetml/2006/main" count="325" uniqueCount="180">
  <si>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</si>
  <si>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</si>
  <si>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</si>
  <si>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</si>
  <si>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</si>
  <si>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</si>
  <si>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</si>
  <si>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</si>
  <si>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</si>
  <si>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</si>
  <si>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</si>
  <si>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</si>
  <si>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</si>
  <si>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</si>
  <si>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</si>
  <si>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</si>
  <si>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</si>
  <si>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</si>
  <si>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</si>
  <si>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</si>
  <si>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</si>
  <si>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</si>
  <si>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</si>
  <si>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</si>
  <si>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</si>
  <si>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</si>
  <si>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</si>
  <si>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</si>
  <si>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</si>
  <si>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</si>
  <si>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</si>
  <si>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</si>
  <si>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</si>
  <si>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</si>
  <si>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</si>
  <si>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</si>
  <si>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</si>
  <si>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</si>
  <si>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</si>
  <si>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</si>
  <si>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</si>
  <si>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</si>
  <si>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</si>
  <si>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</si>
  <si>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</si>
  <si>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</si>
  <si>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</si>
  <si>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</si>
  <si>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</si>
  <si>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</si>
  <si>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</si>
  <si>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</si>
  <si>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</si>
  <si>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</si>
  <si>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</si>
  <si>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</si>
  <si>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</si>
  <si>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</si>
  <si>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</si>
  <si>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</si>
  <si>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</si>
  <si>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</si>
  <si>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</si>
  <si>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</si>
  <si>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</si>
  <si>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</si>
  <si>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</si>
  <si>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</si>
  <si>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</si>
  <si>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</si>
  <si>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</si>
  <si>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</si>
  <si>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</si>
  <si>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</si>
  <si>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</si>
  <si>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</si>
  <si>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</si>
  <si>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</si>
  <si>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</si>
  <si>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</si>
  <si>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</si>
  <si>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</si>
  <si>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</si>
  <si>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</si>
  <si>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</si>
  <si>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</si>
  <si>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</si>
  <si>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</si>
  <si>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</si>
  <si>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</si>
  <si>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</si>
  <si>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</si>
  <si>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</si>
  <si>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</si>
  <si>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</si>
  <si>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</si>
  <si>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</si>
  <si>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</si>
  <si>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</si>
  <si>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</si>
  <si>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</si>
  <si>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</si>
  <si>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</si>
  <si>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</si>
  <si>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</si>
  <si>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</si>
  <si>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</si>
  <si>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</si>
  <si>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</si>
  <si>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</si>
  <si>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</si>
  <si>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</si>
  <si>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</si>
  <si>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</si>
  <si>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</si>
  <si>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</si>
  <si>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</si>
  <si>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</si>
  <si>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</si>
  <si>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</si>
  <si>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</si>
  <si>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</si>
  <si>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</si>
  <si>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</si>
  <si>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</si>
  <si>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</si>
  <si>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</si>
  <si>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</si>
  <si>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</si>
  <si>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</si>
  <si>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</si>
  <si>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</si>
  <si>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</si>
  <si>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</si>
  <si>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</si>
  <si>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</si>
  <si>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</si>
  <si>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</si>
  <si>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</si>
  <si>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</si>
  <si>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</si>
  <si>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</si>
  <si>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</si>
  <si>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</si>
  <si>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</si>
  <si>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</si>
  <si>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</si>
  <si>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</si>
  <si>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</si>
  <si>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</si>
  <si>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</si>
  <si>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</si>
  <si>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</si>
  <si>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</si>
  <si>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</si>
  <si>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</si>
  <si>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</si>
  <si>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</si>
  <si>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</si>
  <si>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</si>
  <si>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</si>
  <si>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</si>
  <si>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</si>
  <si>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</si>
  <si>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</si>
  <si>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</si>
  <si>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</si>
  <si>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</si>
  <si>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</si>
  <si>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</si>
  <si>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</si>
  <si>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</si>
  <si>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</si>
  <si>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</si>
  <si>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</si>
  <si>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</si>
  <si>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formula:  (=SUMIF(H:H, "&gt;20"))</t>
  </si>
  <si>
    <t>IFERROR(C2:C11, 20): This function checks each value in the range C2:C11. If the value is #N/A, it replaces it with 20. If it's not an error, it uses the original value.
SUM(IFERROR(C2:C11, 20)): The SUM function then adds up all the values, including the 20 where there was #N/A.</t>
  </si>
  <si>
    <r>
      <t>FORMULA: [</t>
    </r>
    <r>
      <rPr>
        <b/>
        <sz val="14"/>
        <color rgb="FF000000"/>
        <rFont val="Calibri"/>
        <family val="2"/>
        <scheme val="minor"/>
      </rPr>
      <t>col_1</t>
    </r>
    <r>
      <rPr>
        <sz val="14"/>
        <color rgb="FF000000"/>
        <rFont val="Calibri"/>
        <family val="2"/>
        <scheme val="minor"/>
      </rPr>
      <t xml:space="preserve">: =LEFT(A16,FIND("-",A16)-1) , </t>
    </r>
    <r>
      <rPr>
        <b/>
        <sz val="14"/>
        <color rgb="FF000000"/>
        <rFont val="Calibri"/>
        <family val="2"/>
        <scheme val="minor"/>
      </rPr>
      <t>col_3:</t>
    </r>
    <r>
      <rPr>
        <sz val="14"/>
        <color rgb="FF000000"/>
        <rFont val="Calibri"/>
        <family val="2"/>
        <scheme val="minor"/>
      </rPr>
      <t xml:space="preserve"> =MID(A16,FIND("-",A16)+1,FIND("-",A16,FIND("-",A16)+1)-FIND("-",A16)-1), </t>
    </r>
    <r>
      <rPr>
        <b/>
        <sz val="14"/>
        <color rgb="FF000000"/>
        <rFont val="Calibri"/>
        <family val="2"/>
        <scheme val="minor"/>
      </rPr>
      <t>col_4:</t>
    </r>
    <r>
      <rPr>
        <sz val="14"/>
        <color rgb="FF000000"/>
        <rFont val="Calibri"/>
        <family val="2"/>
        <scheme val="minor"/>
      </rPr>
      <t xml:space="preserve"> =MID(A16, FIND("-", A16, FIND("-", A16) + 1) + 1, FIND("-", A16, FIND("-", A16, FIND("-", A16) + 1) + 1) - FIND("-", A16, FIND("-", A16) + 1) - 1), </t>
    </r>
    <r>
      <rPr>
        <b/>
        <sz val="14"/>
        <color rgb="FF000000"/>
        <rFont val="Calibri"/>
        <family val="2"/>
        <scheme val="minor"/>
      </rPr>
      <t>col_5:</t>
    </r>
    <r>
      <rPr>
        <sz val="14"/>
        <color rgb="FF000000"/>
        <rFont val="Calibri"/>
        <family val="2"/>
        <scheme val="minor"/>
      </rPr>
      <t xml:space="preserve"> =MID(A16, FIND("-", A16, FIND("-", A16, FIND("-", A16) + 1) + 1) + 1, FIND("-", A16, FIND("-", A16, FIND("-", A16, FIND("-", A16) + 1) + 1) + 1) - FIND("-", A16, FIND("-", A16, FIND("-", A16) + 1) + 1) - 1),  </t>
    </r>
    <r>
      <rPr>
        <b/>
        <sz val="14"/>
        <color rgb="FF000000"/>
        <rFont val="Calibri"/>
        <family val="2"/>
        <scheme val="minor"/>
      </rPr>
      <t>col_6:</t>
    </r>
    <r>
      <rPr>
        <sz val="14"/>
        <color rgb="FF000000"/>
        <rFont val="Calibri"/>
        <family val="2"/>
        <scheme val="minor"/>
      </rPr>
      <t xml:space="preserve"> =RIGHT(A16, LEN(A16) - FIND("-", A16, FIND("-", A16, FIND("-", A16, FIND("-", A16) + 1) + 1) + 1)  ]</t>
    </r>
  </si>
  <si>
    <t xml:space="preserve">"=LEFT(A2,FIND("-",A2)-1) for col_1
=MID(A2,FIND("-",A2)+1,FIND("-",A2,FIND("-",A2)+1)-FIND("-",A2)-1) for col_3 (similar logic for other columns)."                                                                    =RIGHT(A16, LEN(A16) - FIND("-", A16, FIND("-", A16, FIND("-", A16, FIND("-", A16) + 1) + 1) + 1)) extracts the value after the last hyphen (which is "24").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</si>
</sst>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72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6" borderId="0" applyNumberFormat="0" applyBorder="0" applyAlignment="0" applyProtection="0"/>
  </cellStyleXfs>
  <cellXfs count="52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8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0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1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8" xfId="0" applyFont="1" applyBorder="1"/>
    <xf numFmtId="0" fontId="9" fillId="0" borderId="6" xfId="0" applyFont="1" applyBorder="1"/>
    <xf numFmtId="0" fontId="9" fillId="0" borderId="8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5" xfId="0" applyFont="1" applyBorder="1"/>
    <xf numFmtId="0" fontId="3" fillId="0" borderId="0" xfId="0" applyFont="1"/>
    <xf numFmtId="172" fontId="4" fillId="0" borderId="0" xfId="0" applyNumberFormat="1" applyFont="1"/>
    <xf numFmtId="0" fontId="1" fillId="6" borderId="0" xfId="11"/>
    <xf numFmtId="0" fontId="4" fillId="0" borderId="0" xfId="0" applyFont="1" applyAlignment="1">
      <alignment wrapText="1"/>
    </xf>
    <xf numFmtId="0" fontId="0" fillId="0" borderId="6" xfId="0" applyFont="1" applyBorder="1"/>
    <xf numFmtId="0" fontId="16" fillId="0" borderId="0" xfId="0" applyFont="1" applyAlignment="1">
      <alignment wrapText="1"/>
    </xf>
  </cellXfs>
  <cellStyles count="12">
    <cellStyle name="20% - Accent6" xfId="11" builtinId="50"/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9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6" t="s">
        <v>169</v>
      </c>
      <c r="B9" s="25" t="s">
        <v>167</v>
      </c>
    </row>
    <row r="10" spans="1:3" x14ac:dyDescent="0.3">
      <c r="A10" s="35" t="s">
        <v>170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168</v>
      </c>
      <c r="B15" s="24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D1" zoomScale="69" zoomScaleNormal="100" workbookViewId="0">
      <pane ySplit="1" topLeftCell="A2" activePane="bottomLeft" state="frozen"/>
      <selection pane="bottomLeft" activeCell="N2" sqref="N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104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  <c r="Y9" s="47"/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  <c r="Y10" s="47"/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  <c r="Y11" s="47"/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  <c r="Y12" s="47"/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  <c r="Y13" s="47"/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  <c r="Y14" s="47"/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  <c r="Y15" s="47"/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  <c r="Y16" s="47"/>
    </row>
    <row r="17" spans="1:25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  <c r="Y17" s="47"/>
    </row>
    <row r="18" spans="1:25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  <c r="Y18" s="47"/>
    </row>
    <row r="19" spans="1:25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  <c r="Y19" s="47"/>
    </row>
    <row r="20" spans="1:25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  <c r="Y20" s="47"/>
    </row>
    <row r="21" spans="1:25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  <c r="Y21" s="47"/>
    </row>
    <row r="22" spans="1:25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  <c r="Y22" s="47"/>
    </row>
    <row r="23" spans="1:25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  <c r="Y23" s="47"/>
    </row>
    <row r="24" spans="1:25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  <c r="Y24" s="47"/>
    </row>
    <row r="25" spans="1:25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  <c r="Y25" s="47"/>
    </row>
    <row r="26" spans="1:25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  <c r="Y26" s="47"/>
    </row>
    <row r="27" spans="1:25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  <c r="Y27" s="47"/>
    </row>
    <row r="28" spans="1:25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  <c r="Y28" s="47"/>
    </row>
    <row r="29" spans="1:25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  <c r="Y29" s="47"/>
    </row>
    <row r="30" spans="1:25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  <c r="Y30" s="47"/>
    </row>
    <row r="31" spans="1:25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  <c r="Y31" s="47"/>
    </row>
    <row r="32" spans="1:25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  <c r="Y32" s="47"/>
    </row>
    <row r="33" spans="1:25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  <c r="Y33" s="47"/>
    </row>
    <row r="34" spans="1:25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  <c r="Y34" s="47"/>
    </row>
    <row r="35" spans="1:25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  <c r="Y35" s="47"/>
    </row>
    <row r="36" spans="1:25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  <c r="Y36" s="47"/>
    </row>
    <row r="37" spans="1:25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  <c r="Y37" s="47"/>
    </row>
    <row r="38" spans="1:25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  <c r="Y38" s="47"/>
    </row>
    <row r="39" spans="1:25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  <c r="Y39" s="47"/>
    </row>
    <row r="40" spans="1:25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  <c r="Y40" s="47"/>
    </row>
    <row r="43" spans="1:25" x14ac:dyDescent="0.3">
      <c r="E43" s="46"/>
    </row>
  </sheetData>
  <conditionalFormatting sqref="A1:A1048576">
    <cfRule type="duplicateValues" dxfId="4" priority="6"/>
  </conditionalFormatting>
  <conditionalFormatting sqref="B1:B1048576">
    <cfRule type="duplicateValues" dxfId="6" priority="5"/>
  </conditionalFormatting>
  <conditionalFormatting sqref="A1">
    <cfRule type="expression" dxfId="3" priority="4">
      <formula>A1=-1</formula>
    </cfRule>
    <cfRule type="cellIs" dxfId="2" priority="3" operator="equal">
      <formula>-1</formula>
    </cfRule>
  </conditionalFormatting>
  <conditionalFormatting sqref="A1:AE42 A44:AE134 A43:D43 F43:AE43">
    <cfRule type="expression" dxfId="1" priority="2">
      <formula>A1=-1</formula>
    </cfRule>
  </conditionalFormatting>
  <conditionalFormatting sqref="A1:Y42">
    <cfRule type="expression" dxfId="0" priority="1">
      <formula>XEG1048536=1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4" t="s">
        <v>176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4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162</v>
      </c>
    </row>
    <row r="2" spans="1:7" s="41" customFormat="1" ht="21" x14ac:dyDescent="0.4">
      <c r="B2" s="41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160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Dataset!G2</f>
        <v>2.7</v>
      </c>
      <c r="C6" s="11">
        <f>Dataset!N2</f>
        <v>7.6</v>
      </c>
      <c r="D6" s="11">
        <f>Dataset!R2</f>
        <v>4.2</v>
      </c>
      <c r="E6" s="11">
        <f>Dataset!T2</f>
        <v>8.9</v>
      </c>
      <c r="F6" s="8">
        <f>Dataset!V2</f>
        <v>4.2</v>
      </c>
    </row>
    <row r="7" spans="1:7" ht="14.4" x14ac:dyDescent="0.3">
      <c r="A7" s="7" t="s">
        <v>4</v>
      </c>
      <c r="B7" s="11">
        <f>Dataset!G3</f>
        <v>2.7</v>
      </c>
      <c r="C7" s="11">
        <f>Dataset!N3</f>
        <v>7.6</v>
      </c>
      <c r="D7" s="11">
        <f>Dataset!R3</f>
        <v>4.2</v>
      </c>
      <c r="E7" s="11">
        <f>Dataset!T3</f>
        <v>8.9</v>
      </c>
      <c r="F7" s="8">
        <f>Dataset!V3</f>
        <v>4.2</v>
      </c>
    </row>
    <row r="8" spans="1:7" ht="14.4" x14ac:dyDescent="0.3">
      <c r="A8" s="7" t="s">
        <v>7</v>
      </c>
      <c r="B8" s="11">
        <f>Dataset!G4</f>
        <v>3.6</v>
      </c>
      <c r="C8" s="11">
        <f>Dataset!N4</f>
        <v>11.1</v>
      </c>
      <c r="D8" s="11">
        <f>Dataset!R4</f>
        <v>5.8</v>
      </c>
      <c r="E8" s="11">
        <f>Dataset!T4</f>
        <v>12.2</v>
      </c>
      <c r="F8" s="11">
        <f>Dataset!V4</f>
        <v>5.8</v>
      </c>
    </row>
    <row r="9" spans="1:7" ht="14.4" x14ac:dyDescent="0.3">
      <c r="A9" s="7" t="s">
        <v>8</v>
      </c>
      <c r="B9" s="11">
        <f>Dataset!G5</f>
        <v>4.9000000000000004</v>
      </c>
      <c r="C9" s="11">
        <f>Dataset!N5</f>
        <v>13.3</v>
      </c>
      <c r="D9" s="11">
        <f>Dataset!R5</f>
        <v>8.1</v>
      </c>
      <c r="E9" s="11">
        <f>Dataset!T5</f>
        <v>17</v>
      </c>
      <c r="F9" s="11">
        <f>Dataset!V5</f>
        <v>8.1</v>
      </c>
    </row>
    <row r="10" spans="1:7" ht="14.4" x14ac:dyDescent="0.3">
      <c r="A10" s="7" t="s">
        <v>11</v>
      </c>
      <c r="B10" s="11">
        <f>Dataset!G8</f>
        <v>9.4</v>
      </c>
      <c r="C10" s="11">
        <f>Dataset!N8</f>
        <v>28.3</v>
      </c>
      <c r="D10" s="11">
        <f>Dataset!R8</f>
        <v>16.100000000000001</v>
      </c>
      <c r="E10" s="11">
        <f>Dataset!T8</f>
        <v>32.799999999999997</v>
      </c>
      <c r="F10" s="11">
        <f>Dataset!V8</f>
        <v>16.100000000000001</v>
      </c>
    </row>
    <row r="11" spans="1:7" ht="14.4" x14ac:dyDescent="0.3">
      <c r="A11" s="7" t="s">
        <v>12</v>
      </c>
      <c r="B11" s="11">
        <f>Dataset!G9</f>
        <v>11.6</v>
      </c>
      <c r="C11" s="11">
        <f>Dataset!N9</f>
        <v>35.200000000000003</v>
      </c>
      <c r="D11" s="11">
        <f>Dataset!R9</f>
        <v>21.3</v>
      </c>
      <c r="E11" s="11">
        <f>Dataset!T9</f>
        <v>43</v>
      </c>
      <c r="F11" s="11">
        <f>Dataset!V9</f>
        <v>21.3</v>
      </c>
    </row>
    <row r="12" spans="1:7" ht="14.4" x14ac:dyDescent="0.3">
      <c r="A12" s="7" t="s">
        <v>14</v>
      </c>
      <c r="B12" s="11">
        <f>Dataset!G10</f>
        <v>16.100000000000001</v>
      </c>
      <c r="C12" s="11">
        <f>Dataset!N10</f>
        <v>49</v>
      </c>
      <c r="D12" s="11">
        <f>Dataset!R10</f>
        <v>29.1</v>
      </c>
      <c r="E12" s="11">
        <f>Dataset!T10</f>
        <v>59</v>
      </c>
      <c r="F12" s="11">
        <f>Dataset!V10</f>
        <v>29.1</v>
      </c>
    </row>
    <row r="13" spans="1:7" ht="14.4" x14ac:dyDescent="0.3">
      <c r="A13" s="7" t="s">
        <v>15</v>
      </c>
      <c r="B13" s="11">
        <f>Dataset!G12</f>
        <v>0</v>
      </c>
      <c r="C13" s="11">
        <f>Dataset!N12</f>
        <v>0</v>
      </c>
      <c r="D13" s="11">
        <f>Dataset!R12</f>
        <v>0</v>
      </c>
      <c r="E13" s="11">
        <f>Dataset!T12</f>
        <v>0</v>
      </c>
      <c r="F13" s="11">
        <f>Dataset!V12</f>
        <v>0</v>
      </c>
    </row>
    <row r="14" spans="1:7" ht="14.4" x14ac:dyDescent="0.3">
      <c r="A14" s="7" t="s">
        <v>16</v>
      </c>
      <c r="B14" s="11">
        <f>Dataset!G13</f>
        <v>21.9</v>
      </c>
      <c r="C14" s="11">
        <f>Dataset!N13</f>
        <v>61.5</v>
      </c>
      <c r="D14" s="11">
        <f>Dataset!R13</f>
        <v>40.1</v>
      </c>
      <c r="E14" s="11">
        <f>Dataset!T13</f>
        <v>76.599999999999994</v>
      </c>
      <c r="F14" s="11">
        <f>Dataset!V13</f>
        <v>40.1</v>
      </c>
    </row>
    <row r="15" spans="1:7" ht="14.4" x14ac:dyDescent="0.3">
      <c r="A15" s="7" t="s">
        <v>18</v>
      </c>
      <c r="B15" s="11">
        <f>Dataset!G15</f>
        <v>26.8</v>
      </c>
      <c r="C15" s="11">
        <f>Dataset!N15</f>
        <v>79.599999999999994</v>
      </c>
      <c r="D15" s="11">
        <f>Dataset!R15</f>
        <v>47.9</v>
      </c>
      <c r="E15" s="11">
        <f>Dataset!T15</f>
        <v>96.8</v>
      </c>
      <c r="F15" s="11">
        <f>Dataset!V15</f>
        <v>47.9</v>
      </c>
    </row>
    <row r="16" spans="1:7" ht="14.4" x14ac:dyDescent="0.3">
      <c r="A16" s="7" t="s">
        <v>20</v>
      </c>
      <c r="B16" s="11">
        <f>Dataset!G17</f>
        <v>28.5</v>
      </c>
      <c r="C16" s="11">
        <f>Dataset!N17</f>
        <v>85.4</v>
      </c>
      <c r="D16" s="11">
        <f>Dataset!R17</f>
        <v>52.3</v>
      </c>
      <c r="E16" s="11">
        <f>Dataset!T17</f>
        <v>106.1</v>
      </c>
      <c r="F16" s="11">
        <f>Dataset!V17</f>
        <v>52.3</v>
      </c>
    </row>
    <row r="17" spans="1:6" ht="14.4" x14ac:dyDescent="0.3">
      <c r="A17" s="7" t="s">
        <v>22</v>
      </c>
      <c r="B17" s="11">
        <f>Dataset!G19</f>
        <v>30.7</v>
      </c>
      <c r="C17" s="11">
        <f>Dataset!N19</f>
        <v>92.1</v>
      </c>
      <c r="D17" s="11">
        <f>Dataset!R19</f>
        <v>57</v>
      </c>
      <c r="E17" s="11">
        <f>Dataset!T19</f>
        <v>115.1</v>
      </c>
      <c r="F17" s="11">
        <f>Dataset!V19</f>
        <v>57</v>
      </c>
    </row>
    <row r="18" spans="1:6" ht="14.4" x14ac:dyDescent="0.3">
      <c r="A18" s="7" t="s">
        <v>23</v>
      </c>
      <c r="B18" s="11">
        <f>Dataset!G20</f>
        <v>33.799999999999997</v>
      </c>
      <c r="C18" s="11">
        <f>Dataset!N20</f>
        <v>101.3</v>
      </c>
      <c r="D18" s="11">
        <f>Dataset!R20</f>
        <v>61.4</v>
      </c>
      <c r="E18" s="11">
        <f>Dataset!T20</f>
        <v>124.4</v>
      </c>
      <c r="F18" s="11">
        <f>Dataset!V20</f>
        <v>61.4</v>
      </c>
    </row>
    <row r="19" spans="1:6" ht="14.4" x14ac:dyDescent="0.3">
      <c r="A19" s="7" t="s">
        <v>24</v>
      </c>
      <c r="B19" s="11">
        <f>Dataset!G21</f>
        <v>34.700000000000003</v>
      </c>
      <c r="C19" s="11">
        <f>Dataset!N21</f>
        <v>106.1</v>
      </c>
      <c r="D19" s="11">
        <f>Dataset!R21</f>
        <v>63.6</v>
      </c>
      <c r="E19" s="11">
        <f>Dataset!T21</f>
        <v>128.6</v>
      </c>
      <c r="F19" s="11">
        <f>Dataset!V21</f>
        <v>63.6</v>
      </c>
    </row>
    <row r="20" spans="1:6" ht="14.4" x14ac:dyDescent="0.3">
      <c r="A20" s="7" t="s">
        <v>28</v>
      </c>
      <c r="B20" s="11">
        <f>Dataset!G26</f>
        <v>0</v>
      </c>
      <c r="C20" s="11">
        <f>Dataset!N26</f>
        <v>0</v>
      </c>
      <c r="D20" s="11">
        <f>Dataset!R26</f>
        <v>0</v>
      </c>
      <c r="E20" s="11">
        <f>Dataset!T26</f>
        <v>0</v>
      </c>
      <c r="F20" s="11">
        <f>Dataset!V26</f>
        <v>0</v>
      </c>
    </row>
    <row r="21" spans="1:6" ht="14.4" x14ac:dyDescent="0.3">
      <c r="A21" s="7" t="s">
        <v>57</v>
      </c>
      <c r="B21" s="11">
        <f>Dataset!G27</f>
        <v>41.3</v>
      </c>
      <c r="C21" s="11">
        <f>Dataset!N27</f>
        <v>124.4</v>
      </c>
      <c r="D21" s="11">
        <f>Dataset!R27</f>
        <v>75</v>
      </c>
      <c r="E21" s="11">
        <f>Dataset!T27</f>
        <v>151.5</v>
      </c>
      <c r="F21" s="11">
        <f>Dataset!V27</f>
        <v>75</v>
      </c>
    </row>
    <row r="22" spans="1:6" ht="14.4" x14ac:dyDescent="0.3">
      <c r="A22" s="7" t="s">
        <v>58</v>
      </c>
      <c r="B22" s="11">
        <f>Dataset!G30</f>
        <v>-1</v>
      </c>
      <c r="C22" s="11">
        <f>Dataset!N30</f>
        <v>-1</v>
      </c>
      <c r="D22" s="11">
        <f>Dataset!R30</f>
        <v>-1</v>
      </c>
      <c r="E22" s="11">
        <f>Dataset!T30</f>
        <v>-1</v>
      </c>
      <c r="F22" s="11">
        <f>Dataset!V30</f>
        <v>-1</v>
      </c>
    </row>
    <row r="23" spans="1:6" ht="14.4" x14ac:dyDescent="0.3">
      <c r="A23" s="7" t="s">
        <v>31</v>
      </c>
      <c r="B23" s="11">
        <f>Dataset!G31</f>
        <v>45</v>
      </c>
      <c r="C23" s="11">
        <f>Dataset!N31</f>
        <v>133.4</v>
      </c>
      <c r="D23" s="11">
        <f>Dataset!R31</f>
        <v>79.400000000000006</v>
      </c>
      <c r="E23" s="11">
        <f>Dataset!T31</f>
        <v>160.9</v>
      </c>
      <c r="F23" s="11">
        <f>Dataset!V31</f>
        <v>79.400000000000006</v>
      </c>
    </row>
    <row r="24" spans="1:6" ht="14.4" x14ac:dyDescent="0.3">
      <c r="A24" s="7" t="s">
        <v>32</v>
      </c>
      <c r="B24" s="11">
        <f>Dataset!G32</f>
        <v>-1</v>
      </c>
      <c r="C24" s="11">
        <f>Dataset!N32</f>
        <v>-1</v>
      </c>
      <c r="D24" s="11">
        <f>Dataset!R32</f>
        <v>-1</v>
      </c>
      <c r="E24" s="11">
        <f>Dataset!G32</f>
        <v>-1</v>
      </c>
      <c r="F24" s="11">
        <f>Dataset!V32</f>
        <v>-1</v>
      </c>
    </row>
    <row r="25" spans="1:6" ht="14.4" x14ac:dyDescent="0.3">
      <c r="A25" s="7" t="s">
        <v>34</v>
      </c>
      <c r="B25" s="11">
        <f>Dataset!G34</f>
        <v>43.3</v>
      </c>
      <c r="C25" s="11">
        <f>Dataset!N34</f>
        <v>128.6</v>
      </c>
      <c r="D25" s="11">
        <f>Dataset!R34</f>
        <v>79.400000000000006</v>
      </c>
      <c r="E25" s="11">
        <f>Dataset!T34</f>
        <v>160.9</v>
      </c>
      <c r="F25" s="11">
        <f>Dataset!V34</f>
        <v>79.400000000000006</v>
      </c>
    </row>
    <row r="26" spans="1:6" ht="14.4" x14ac:dyDescent="0.3">
      <c r="A26" s="7" t="s">
        <v>37</v>
      </c>
      <c r="B26" s="11">
        <f>Dataset!G38</f>
        <v>49.1</v>
      </c>
      <c r="C26" s="11">
        <f>Dataset!N38</f>
        <v>146.80000000000001</v>
      </c>
      <c r="D26" s="11">
        <f>Dataset!R38</f>
        <v>90.9</v>
      </c>
      <c r="E26" s="11">
        <f>Dataset!T38</f>
        <v>183.5</v>
      </c>
      <c r="F26" s="11">
        <f>Dataset!V38</f>
        <v>90.9</v>
      </c>
    </row>
    <row r="27" spans="1:6" ht="14.4" x14ac:dyDescent="0.3">
      <c r="A27" s="7" t="s">
        <v>39</v>
      </c>
      <c r="B27" s="11">
        <f>Dataset!G40</f>
        <v>51.8</v>
      </c>
      <c r="C27" s="11">
        <f>Dataset!N40</f>
        <v>156.4</v>
      </c>
      <c r="D27" s="11">
        <f>Dataset!R40</f>
        <v>93.1</v>
      </c>
      <c r="E27" s="11">
        <f>Dataset!T40</f>
        <v>188.1</v>
      </c>
      <c r="F27" s="11">
        <f>Dataset!V40</f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8" t="s">
        <v>83</v>
      </c>
      <c r="B29" s="31">
        <f>MAX(B6:B27)</f>
        <v>51.8</v>
      </c>
      <c r="C29" s="31">
        <f>MAX(C6:C27)</f>
        <v>156.4</v>
      </c>
      <c r="D29" s="48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8"/>
      <c r="B30" s="31">
        <f>AVERAGE(B6:B27)</f>
        <v>20.722727272727273</v>
      </c>
      <c r="C30" s="31">
        <f>AVERAGE(C6:C27)</f>
        <v>62.077272727272728</v>
      </c>
      <c r="D30" s="31">
        <f>AVERAGE(D6:D27)</f>
        <v>37.586363636363636</v>
      </c>
      <c r="E30" s="31">
        <f>AVERAGE(E6:E27)</f>
        <v>76.013636363636365</v>
      </c>
      <c r="F30" s="31">
        <f>AVERAGE(F6:F27)</f>
        <v>37.586363636363636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5" zoomScaleNormal="100" workbookViewId="0">
      <selection activeCell="D6" sqref="D6"/>
    </sheetView>
  </sheetViews>
  <sheetFormatPr defaultColWidth="11" defaultRowHeight="14.4" x14ac:dyDescent="0.3"/>
  <cols>
    <col min="1" max="1" width="39.77734375" style="1" bestFit="1" customWidth="1"/>
    <col min="2" max="2" width="58.88671875" style="1" customWidth="1"/>
    <col min="3" max="16384" width="11" style="1"/>
  </cols>
  <sheetData>
    <row r="1" spans="1:10" s="41" customFormat="1" ht="21" x14ac:dyDescent="0.4">
      <c r="A1" s="42" t="s">
        <v>56</v>
      </c>
      <c r="B1" s="41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43" t="s">
        <v>53</v>
      </c>
      <c r="B5" s="40" t="s">
        <v>178</v>
      </c>
    </row>
    <row r="6" spans="1:10" ht="126" x14ac:dyDescent="0.35">
      <c r="A6" s="43" t="s">
        <v>151</v>
      </c>
      <c r="B6" s="51" t="s">
        <v>179</v>
      </c>
    </row>
    <row r="7" spans="1:10" ht="18" x14ac:dyDescent="0.35">
      <c r="A7" s="43"/>
      <c r="B7" s="40"/>
    </row>
    <row r="9" spans="1:10" ht="23.4" x14ac:dyDescent="0.45">
      <c r="A9" s="17" t="s">
        <v>163</v>
      </c>
      <c r="I9" s="2"/>
      <c r="J9" s="2"/>
    </row>
    <row r="10" spans="1:10" x14ac:dyDescent="0.3">
      <c r="A10" s="33" t="s">
        <v>101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119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160</v>
      </c>
    </row>
    <row r="15" spans="1:10" x14ac:dyDescent="0.3">
      <c r="A15" s="13" t="s">
        <v>102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119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50" t="str">
        <f>RIGHT(A16, LEN(A16) - FIND("-", A16, FIND("-", A16, FIND("-", A16, FIND("-", A16) + 1) + 1) + 1))</f>
        <v>24</v>
      </c>
    </row>
    <row r="17" spans="1:6" x14ac:dyDescent="0.3">
      <c r="A17" s="7" t="s">
        <v>120</v>
      </c>
      <c r="B17" s="11" t="str">
        <f>LEFT(A17, FIND("-", A17) - 1)</f>
        <v>20002</v>
      </c>
      <c r="C17" s="1" t="str">
        <f t="shared" ref="C17:C54" si="0">MID(A17, FIND("-", A17) + 1, FIND("-", A17, FIND("-", A17) + 1) - FIND("-", A17) - 1)</f>
        <v>Monday</v>
      </c>
      <c r="D17" s="11" t="str">
        <f t="shared" ref="D17:D54" si="1">MID(A17, FIND("-", A17, FIND("-", A17) + 1) + 1, FIND("-", A17, FIND("-", A17, FIND("-", A17) + 1) + 1) - FIND("-", A17, FIND("-", A17) + 1) - 1)</f>
        <v>0</v>
      </c>
      <c r="E17" s="1" t="str">
        <f t="shared" ref="E17:E54" si="2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3">RIGHT(A17, LEN(A17) - FIND("-", A17, FIND("-", A17, FIND("-", A17, FIND("-", A17) + 1) + 1) + 1))</f>
        <v>24</v>
      </c>
    </row>
    <row r="18" spans="1:6" x14ac:dyDescent="0.3">
      <c r="A18" s="7" t="s">
        <v>121</v>
      </c>
      <c r="B18" s="11" t="str">
        <f t="shared" ref="B17:B54" si="4">LEFT(A18, FIND("-", A18) - 1)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 x14ac:dyDescent="0.3">
      <c r="A19" s="7" t="s">
        <v>122</v>
      </c>
      <c r="B19" s="11" t="str">
        <f t="shared" si="4"/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3">
      <c r="A20" s="7" t="s">
        <v>123</v>
      </c>
      <c r="B20" s="11" t="str">
        <f t="shared" si="4"/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3">
      <c r="A21" s="7" t="s">
        <v>124</v>
      </c>
      <c r="B21" s="11" t="str">
        <f t="shared" si="4"/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3">
      <c r="A22" s="7" t="s">
        <v>125</v>
      </c>
      <c r="B22" s="11" t="str">
        <f t="shared" si="4"/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3">
      <c r="A23" s="7" t="s">
        <v>126</v>
      </c>
      <c r="B23" s="11" t="str">
        <f t="shared" si="4"/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3">
      <c r="A24" s="7" t="s">
        <v>127</v>
      </c>
      <c r="B24" s="11" t="str">
        <f t="shared" si="4"/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3">
      <c r="A25" s="7" t="s">
        <v>128</v>
      </c>
      <c r="B25" s="11" t="str">
        <f t="shared" si="4"/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3">
      <c r="A26" s="7" t="s">
        <v>129</v>
      </c>
      <c r="B26" s="11" t="str">
        <f t="shared" si="4"/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3">
      <c r="A27" s="7" t="s">
        <v>130</v>
      </c>
      <c r="B27" s="11" t="str">
        <f t="shared" si="4"/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3">
      <c r="A28" s="7" t="s">
        <v>131</v>
      </c>
      <c r="B28" s="11" t="str">
        <f t="shared" si="4"/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3">
      <c r="A29" s="7" t="s">
        <v>132</v>
      </c>
      <c r="B29" s="11" t="str">
        <f t="shared" si="4"/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3">
      <c r="A30" s="7" t="s">
        <v>133</v>
      </c>
      <c r="B30" s="11" t="str">
        <f t="shared" si="4"/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3">
      <c r="A31" s="7" t="s">
        <v>134</v>
      </c>
      <c r="B31" s="11" t="str">
        <f t="shared" si="4"/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3">
      <c r="A32" s="7" t="s">
        <v>135</v>
      </c>
      <c r="B32" s="1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3">
      <c r="A33" s="7" t="s">
        <v>136</v>
      </c>
      <c r="B33" s="1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3">
      <c r="A34" s="7" t="s">
        <v>137</v>
      </c>
      <c r="B34" s="1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3">
      <c r="A35" s="7" t="s">
        <v>138</v>
      </c>
      <c r="B35" s="1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3">
      <c r="A36" s="7" t="s">
        <v>139</v>
      </c>
      <c r="B36" s="1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3">
      <c r="A37" s="7" t="s">
        <v>140</v>
      </c>
      <c r="B37" s="1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3">
      <c r="A38" s="7" t="s">
        <v>141</v>
      </c>
      <c r="B38" s="1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3">
      <c r="A39" s="7" t="s">
        <v>142</v>
      </c>
      <c r="B39" s="1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3">
      <c r="A40" s="7" t="s">
        <v>143</v>
      </c>
      <c r="B40" s="1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3">
      <c r="A41" s="7" t="s">
        <v>144</v>
      </c>
      <c r="B41" s="1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3">
      <c r="A42" s="7" t="s">
        <v>145</v>
      </c>
      <c r="B42" s="1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3">
      <c r="A43" s="7" t="s">
        <v>146</v>
      </c>
      <c r="B43" s="1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3">
      <c r="A44" s="7" t="s">
        <v>147</v>
      </c>
      <c r="B44" s="1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3">
      <c r="A45" s="7" t="s">
        <v>148</v>
      </c>
      <c r="B45" s="1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3">
      <c r="A46" s="7" t="s">
        <v>110</v>
      </c>
      <c r="B46" s="1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3">
      <c r="A47" s="7" t="s">
        <v>111</v>
      </c>
      <c r="B47" s="11" t="str">
        <f t="shared" si="4"/>
        <v>21002</v>
      </c>
      <c r="C47" s="1" t="str">
        <f>MID(A47, FIND("-", A47) + 1, FIND("-", A47, FIND("-", A47) + 1) - FIND("-", A47) - 1)</f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3">
      <c r="A48" s="7" t="s">
        <v>112</v>
      </c>
      <c r="B48" s="1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3">
      <c r="A49" s="7" t="s">
        <v>113</v>
      </c>
      <c r="B49" s="1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3">
      <c r="A50" s="7" t="s">
        <v>114</v>
      </c>
      <c r="B50" s="1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3">
      <c r="A51" s="7" t="s">
        <v>115</v>
      </c>
      <c r="B51" s="1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3">
      <c r="A52" s="7" t="s">
        <v>116</v>
      </c>
      <c r="B52" s="1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3">
      <c r="A53" s="7" t="s">
        <v>117</v>
      </c>
      <c r="B53" s="1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3">
      <c r="A54" s="9" t="s">
        <v>118</v>
      </c>
      <c r="B54" s="1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84</v>
      </c>
      <c r="B1" s="41" t="s">
        <v>165</v>
      </c>
    </row>
    <row r="2" spans="1:3" ht="18" x14ac:dyDescent="0.35">
      <c r="B2" s="40" t="s">
        <v>164</v>
      </c>
    </row>
    <row r="5" spans="1:3" ht="14.4" x14ac:dyDescent="0.3">
      <c r="B5" s="1" t="s">
        <v>149</v>
      </c>
    </row>
    <row r="6" spans="1:3" ht="14.4" x14ac:dyDescent="0.3">
      <c r="A6" s="3" t="s">
        <v>53</v>
      </c>
      <c r="B6" s="1">
        <f>SUM(IFERROR(C12:C21, 20))</f>
        <v>20</v>
      </c>
    </row>
    <row r="7" spans="1:3" ht="230.4" x14ac:dyDescent="0.3">
      <c r="A7" s="3" t="s">
        <v>151</v>
      </c>
      <c r="B7" s="49" t="s">
        <v>177</v>
      </c>
    </row>
    <row r="10" spans="1:3" ht="23.4" x14ac:dyDescent="0.45">
      <c r="A10" s="17" t="s">
        <v>160</v>
      </c>
    </row>
    <row r="11" spans="1:3" ht="14.4" x14ac:dyDescent="0.3">
      <c r="A11" s="32" t="s">
        <v>85</v>
      </c>
      <c r="B11" s="16" t="s">
        <v>86</v>
      </c>
      <c r="C11" s="16" t="s">
        <v>87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152</v>
      </c>
      <c r="C17" s="16">
        <v>150</v>
      </c>
    </row>
    <row r="18" spans="1:3" ht="14.4" x14ac:dyDescent="0.3">
      <c r="A18" s="32">
        <v>44933</v>
      </c>
      <c r="B18" s="16" t="s">
        <v>153</v>
      </c>
      <c r="C18" s="16">
        <v>80</v>
      </c>
    </row>
    <row r="19" spans="1:3" ht="14.4" x14ac:dyDescent="0.3">
      <c r="A19" s="32">
        <v>44934</v>
      </c>
      <c r="B19" s="16" t="s">
        <v>154</v>
      </c>
      <c r="C19" s="16" t="e">
        <v>#N/A</v>
      </c>
    </row>
    <row r="20" spans="1:3" ht="14.4" x14ac:dyDescent="0.3">
      <c r="A20" s="32">
        <v>44935</v>
      </c>
      <c r="B20" s="16" t="s">
        <v>155</v>
      </c>
      <c r="C20" s="16">
        <v>30</v>
      </c>
    </row>
    <row r="21" spans="1:3" ht="14.4" x14ac:dyDescent="0.3">
      <c r="A21" s="32">
        <v>44936</v>
      </c>
      <c r="B21" s="16" t="s">
        <v>156</v>
      </c>
      <c r="C21" s="16" t="e">
        <v>#N/A</v>
      </c>
    </row>
    <row r="22" spans="1:3" ht="14.4" x14ac:dyDescent="0.3">
      <c r="B22" s="16" t="s">
        <v>157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="85" zoomScaleNormal="100" workbookViewId="0">
      <selection activeCell="E24" sqref="E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97</v>
      </c>
      <c r="B1" s="41" t="s">
        <v>173</v>
      </c>
    </row>
    <row r="3" spans="1:14" ht="14.4" x14ac:dyDescent="0.3">
      <c r="B3" s="1" t="s">
        <v>149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151</v>
      </c>
      <c r="B5" s="1"/>
    </row>
    <row r="6" spans="1:14" ht="14.4" x14ac:dyDescent="0.3">
      <c r="A6" s="3"/>
      <c r="B6" s="1"/>
    </row>
    <row r="8" spans="1:14" ht="23.4" x14ac:dyDescent="0.45">
      <c r="A8" s="17" t="s">
        <v>160</v>
      </c>
      <c r="M8" s="17" t="s">
        <v>161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166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4"/>
      <c r="E23"/>
    </row>
    <row r="24" spans="1:14" ht="14.4" x14ac:dyDescent="0.3">
      <c r="A24" s="7">
        <v>10100</v>
      </c>
      <c r="B24" s="11">
        <v>10104</v>
      </c>
      <c r="C24" s="44"/>
    </row>
    <row r="25" spans="1:14" ht="14.4" x14ac:dyDescent="0.3">
      <c r="A25" s="7">
        <v>10108</v>
      </c>
      <c r="B25" s="11">
        <v>10102</v>
      </c>
      <c r="C25" s="44"/>
    </row>
    <row r="26" spans="1:14" ht="14.4" x14ac:dyDescent="0.3">
      <c r="A26" s="7">
        <v>10100</v>
      </c>
      <c r="B26" s="11">
        <v>10106</v>
      </c>
      <c r="C26" s="44"/>
    </row>
    <row r="27" spans="1:14" ht="14.4" x14ac:dyDescent="0.3">
      <c r="A27" s="7">
        <v>10108</v>
      </c>
      <c r="B27" s="11">
        <v>10110</v>
      </c>
      <c r="C27" s="44"/>
    </row>
    <row r="28" spans="1:14" ht="14.4" x14ac:dyDescent="0.3">
      <c r="A28" s="7">
        <v>10102</v>
      </c>
      <c r="B28" s="11">
        <v>10104</v>
      </c>
      <c r="C28" s="44"/>
    </row>
    <row r="29" spans="1:14" ht="14.4" x14ac:dyDescent="0.3">
      <c r="A29" s="7">
        <v>10106</v>
      </c>
      <c r="B29" s="11">
        <v>10108</v>
      </c>
      <c r="C29" s="44"/>
    </row>
    <row r="30" spans="1:14" ht="14.4" x14ac:dyDescent="0.3">
      <c r="A30" s="7">
        <v>10102</v>
      </c>
      <c r="B30" s="11">
        <v>10106</v>
      </c>
      <c r="C30" s="44"/>
    </row>
    <row r="31" spans="1:14" ht="14.4" x14ac:dyDescent="0.3">
      <c r="A31" s="7">
        <v>10110</v>
      </c>
      <c r="B31" s="11">
        <v>10114</v>
      </c>
      <c r="C31" s="44"/>
    </row>
    <row r="32" spans="1:14" ht="14.4" x14ac:dyDescent="0.3">
      <c r="A32" s="7">
        <v>10104</v>
      </c>
      <c r="B32" s="11">
        <v>10106</v>
      </c>
      <c r="C32" s="44"/>
    </row>
    <row r="33" spans="1:3" ht="14.4" x14ac:dyDescent="0.3">
      <c r="A33" s="7">
        <v>10110</v>
      </c>
      <c r="B33" s="11">
        <v>10112</v>
      </c>
      <c r="C33" s="44"/>
    </row>
    <row r="34" spans="1:3" ht="14.4" x14ac:dyDescent="0.3">
      <c r="A34" s="7">
        <v>10100</v>
      </c>
      <c r="B34" s="11">
        <v>10114</v>
      </c>
      <c r="C34" s="44"/>
    </row>
    <row r="35" spans="1:3" ht="14.4" x14ac:dyDescent="0.3">
      <c r="A35" s="9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Nithish Cr</cp:lastModifiedBy>
  <dcterms:created xsi:type="dcterms:W3CDTF">2015-02-10T17:33:11Z</dcterms:created>
  <dcterms:modified xsi:type="dcterms:W3CDTF">2024-10-24T17:56:45Z</dcterms:modified>
</cp:coreProperties>
</file>